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735797b98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entation Summary" sheetId="1" r:id="R936282f7165946f9"/>
    <x:sheet xmlns:r="http://schemas.openxmlformats.org/officeDocument/2006/relationships" name="Plot Data" sheetId="2" r:id="R37fb03d5d3ac45e1"/>
    <x:sheet xmlns:r="http://schemas.openxmlformats.org/officeDocument/2006/relationships" name="Seed Scores" sheetId="3" r:id="Rda365c19c8cb4ef6"/>
    <x:sheet xmlns:r="http://schemas.openxmlformats.org/officeDocument/2006/relationships" name="Definitions" sheetId="4" r:id="R4d290f872589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0"/>
    <x:numFmt numFmtId="202" formatCode="0"/>
    <x:numFmt numFmtId="203" formatCode="0.00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3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24e2e759141db" /><Relationship Type="http://schemas.openxmlformats.org/officeDocument/2006/relationships/theme" Target="/xl/theme/theme1.xml" Id="Rc6febbf67a074666" /><Relationship Type="http://schemas.openxmlformats.org/officeDocument/2006/relationships/sharedStrings" Target="/xl/sharedStrings.xml" Id="R89d6095361614055" /><Relationship Type="http://schemas.openxmlformats.org/officeDocument/2006/relationships/worksheet" Target="/xl/worksheets/sheet1.xml" Id="R936282f7165946f9" /><Relationship Type="http://schemas.openxmlformats.org/officeDocument/2006/relationships/worksheet" Target="/xl/worksheets/sheet2.xml" Id="R37fb03d5d3ac45e1" /><Relationship Type="http://schemas.openxmlformats.org/officeDocument/2006/relationships/worksheet" Target="/xl/worksheets/sheet3.xml" Id="Rda365c19c8cb4ef6" /><Relationship Type="http://schemas.openxmlformats.org/officeDocument/2006/relationships/worksheet" Target="/xl/worksheets/sheet4.xml" Id="R4d290f87258942c3" /></Relationships>
</file>

<file path=xl/tables/table1.xml><?xml version="1.0" encoding="utf-8"?>
<x:table xmlns:x="http://schemas.openxmlformats.org/spreadsheetml/2006/main" id="1" name="PresentationPlotData" displayName="PresentationPlotData" ref="A1:L21" headerRowCount="1" totalsRowCount="0" totalsRowShown="0">
  <x:tableColumns count="12">
    <x:tableColumn id="1" name="metric_id"/>
    <x:tableColumn id="2" name="metric"/>
    <x:tableColumn id="3" name="model"/>
    <x:tableColumn id="4" name="value"/>
    <x:tableColumn id="5" name="sample_sd"/>
    <x:tableColumn id="6" name="min"/>
    <x:tableColumn id="7" name="max"/>
    <x:tableColumn id="8" name="unit"/>
    <x:tableColumn id="9" name="direction"/>
    <x:tableColumn id="10" name="aggregation"/>
    <x:tableColumn id="11" name="source_file"/>
    <x:tableColumn id="12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ifierSeedScores" displayName="ClassifierSeedScores" ref="A1:I13" headerRowCount="1" totalsRowCount="0" totalsRowShown="0">
  <x:tableColumns count="9">
    <x:tableColumn id="1" name="model"/>
    <x:tableColumn id="2" name="seed"/>
    <x:tableColumn id="3" name="classifier"/>
    <x:tableColumn id="4" name="sample_count"/>
    <x:tableColumn id="5" name="accuracy"/>
    <x:tableColumn id="6" name="macro_f1"/>
    <x:tableColumn id="7" name="macro_recall"/>
    <x:tableColumn id="8" name="mean_confidence"/>
    <x:tableColumn id="9" name="mean_entrop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efd7c16fc94d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7600e9d8d24c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1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8" hidden="0" customWidth="1"/>
  </x:cols>
  <x:sheetData>
    <x:row r="1" ht="28" customHeight="1">
      <x:c r="A1" s="5" t="str">
        <x:v>Generator checkpoint evaluation — presentation metrics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8" t="str">
        <x:v>CRNN is the primary feature encoder. Values summarize three generation seeds unless stated otherwise.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4" customHeight="1">
      <x:c r="A4" s="14" t="str">
        <x:v>Metric</x:v>
      </x:c>
      <x:c r="B4" s="15" t="str">
        <x:v>Direction</x:v>
      </x:c>
      <x:c r="C4" s="15" t="str">
        <x:v>Unit</x:v>
      </x:c>
      <x:c r="D4" s="15" t="str">
        <x:v>VAE-v3</x:v>
      </x:c>
      <x:c r="E4" s="15" t="str">
        <x:v>Diffusion</x:v>
      </x:c>
      <x:c r="F4" s="15" t="str">
        <x:v>VAE SD</x:v>
      </x:c>
      <x:c r="G4" s="15" t="str">
        <x:v>Diffusion SD</x:v>
      </x:c>
      <x:c r="H4" s="15" t="str">
        <x:v>VAE Min</x:v>
      </x:c>
      <x:c r="I4" s="15" t="str">
        <x:v>VAE Max</x:v>
      </x:c>
      <x:c r="J4" s="15" t="str">
        <x:v>Diffusion Min</x:v>
      </x:c>
      <x:c r="K4" s="15" t="str">
        <x:v>Diffusion Max</x:v>
      </x:c>
      <x:c r="L4" s="16" t="str">
        <x:v>Interpretation / limitation</x:v>
      </x:c>
    </x:row>
    <x:row r="5" ht="30" customHeight="1">
      <x:c r="A5" s="31" t="str">
        <x:v>Conditioning macro F1</x:v>
      </x:c>
      <x:c r="B5" s="32" t="str">
        <x:v>higher</x:v>
      </x:c>
      <x:c r="C5" s="32" t="str">
        <x:v>fraction</x:v>
      </x:c>
      <x:c r="D5" s="19" t="n">
        <x:f>'Plot Data'!D2</x:f>
        <x:v>0.9688259393418699</x:v>
      </x:c>
      <x:c r="E5" s="19" t="n">
        <x:f>'Plot Data'!D3</x:f>
        <x:v>0.6834769502427248</x:v>
      </x:c>
      <x:c r="F5" s="19" t="n">
        <x:f>'Plot Data'!E2</x:f>
        <x:v>0.0053722620224398495</x:v>
      </x:c>
      <x:c r="G5" s="19" t="n">
        <x:f>'Plot Data'!E3</x:f>
        <x:v>0.42495970910850167</x:v>
      </x:c>
      <x:c r="H5" s="19" t="n">
        <x:f>'Plot Data'!F2</x:f>
        <x:v>0.9649366006417325</x:v>
      </x:c>
      <x:c r="I5" s="19" t="n">
        <x:f>'Plot Data'!G2</x:f>
        <x:v>0.9749558186740613</x:v>
      </x:c>
      <x:c r="J5" s="19" t="n">
        <x:f>'Plot Data'!F3</x:f>
        <x:v>0.19278375149342888</x:v>
      </x:c>
      <x:c r="K5" s="19" t="n">
        <x:f>'Plot Data'!G3</x:f>
        <x:v>0.9312510774689731</x:v>
      </x:c>
      <x:c r="L5" s="37" t="str">
        <x:v>Classifier compatibility, not perceptual realism.</x:v>
      </x:c>
    </x:row>
    <x:row r="6" ht="30" customHeight="1">
      <x:c r="A6" s="33" t="str">
        <x:v>Fréchet classifier-feature distance</x:v>
      </x:c>
      <x:c r="B6" s="34" t="str">
        <x:v>lower</x:v>
      </x:c>
      <x:c r="C6" s="34" t="str">
        <x:v>distance</x:v>
      </x:c>
      <x:c r="D6" s="23" t="n">
        <x:f>'Plot Data'!D4</x:f>
        <x:v>22.580292299253433</x:v>
      </x:c>
      <x:c r="E6" s="23" t="n">
        <x:f>'Plot Data'!D5</x:f>
        <x:v>210.06325575757094</x:v>
      </x:c>
      <x:c r="F6" s="23" t="str">
        <x:f>""</x:f>
      </x:c>
      <x:c r="G6" s="23" t="str">
        <x:f>""</x:f>
      </x:c>
      <x:c r="H6" s="23" t="n">
        <x:f>'Plot Data'!F4</x:f>
        <x:v>12.51717121405561</x:v>
      </x:c>
      <x:c r="I6" s="23" t="n">
        <x:f>'Plot Data'!G4</x:f>
        <x:v>41.21870743931243</x:v>
      </x:c>
      <x:c r="J6" s="23" t="n">
        <x:f>'Plot Data'!F5</x:f>
        <x:v>132.05451905301712</x:v>
      </x:c>
      <x:c r="K6" s="23" t="n">
        <x:f>'Plot Data'!G5</x:f>
        <x:v>286.0963386011635</x:v>
      </x:c>
      <x:c r="L6" s="38" t="str">
        <x:v>Comparable within this CRNN feature space only.</x:v>
      </x:c>
    </x:row>
    <x:row r="7" ht="30" customHeight="1">
      <x:c r="A7" s="33" t="str">
        <x:v>k=5 manifold precision</x:v>
      </x:c>
      <x:c r="B7" s="34" t="str">
        <x:v>higher</x:v>
      </x:c>
      <x:c r="C7" s="34" t="str">
        <x:v>fraction</x:v>
      </x:c>
      <x:c r="D7" s="25" t="n">
        <x:f>'Plot Data'!D6</x:f>
        <x:v>0.8563758680555554</x:v>
      </x:c>
      <x:c r="E7" s="25" t="n">
        <x:f>'Plot Data'!D7</x:f>
        <x:v>0.3953038194444444</x:v>
      </x:c>
      <x:c r="F7" s="25" t="str">
        <x:f>""</x:f>
      </x:c>
      <x:c r="G7" s="25" t="str">
        <x:f>""</x:f>
      </x:c>
      <x:c r="H7" s="25" t="n">
        <x:f>'Plot Data'!F6</x:f>
        <x:v>0.761875</x:v>
      </x:c>
      <x:c r="I7" s="25" t="n">
        <x:f>'Plot Data'!G6</x:f>
        <x:v>0.9051692708333333</x:v>
      </x:c>
      <x:c r="J7" s="25" t="n">
        <x:f>'Plot Data'!F7</x:f>
        <x:v>0.2546614583333333</x:v>
      </x:c>
      <x:c r="K7" s="25" t="n">
        <x:f>'Plot Data'!G7</x:f>
        <x:v>0.5651432291666666</x:v>
      </x:c>
      <x:c r="L7" s="38" t="str">
        <x:v>Generated samples lying within the real-data manifold.</x:v>
      </x:c>
    </x:row>
    <x:row r="8" ht="30" customHeight="1">
      <x:c r="A8" s="33" t="str">
        <x:v>k=5 manifold recall</x:v>
      </x:c>
      <x:c r="B8" s="34" t="str">
        <x:v>higher</x:v>
      </x:c>
      <x:c r="C8" s="34" t="str">
        <x:v>fraction</x:v>
      </x:c>
      <x:c r="D8" s="25" t="n">
        <x:f>'Plot Data'!D8</x:f>
        <x:v>0.9012109375</x:v>
      </x:c>
      <x:c r="E8" s="25" t="n">
        <x:f>'Plot Data'!D9</x:f>
        <x:v>0.5487717013888889</x:v>
      </x:c>
      <x:c r="F8" s="25" t="str">
        <x:f>""</x:f>
      </x:c>
      <x:c r="G8" s="25" t="str">
        <x:f>""</x:f>
      </x:c>
      <x:c r="H8" s="25" t="n">
        <x:f>'Plot Data'!F8</x:f>
        <x:v>0.8727994791666668</x:v>
      </x:c>
      <x:c r="I8" s="25" t="n">
        <x:f>'Plot Data'!G8</x:f>
        <x:v>0.9183723958333333</x:v>
      </x:c>
      <x:c r="J8" s="25" t="n">
        <x:f>'Plot Data'!F9</x:f>
        <x:v>0.524921875</x:v>
      </x:c>
      <x:c r="K8" s="25" t="n">
        <x:f>'Plot Data'!G9</x:f>
        <x:v>0.5843489583333333</x:v>
      </x:c>
      <x:c r="L8" s="38" t="str">
        <x:v>Real-data variation reached by the generated manifold.</x:v>
      </x:c>
    </x:row>
    <x:row r="9" ht="30" customHeight="1">
      <x:c r="A9" s="33" t="str">
        <x:v>k=5 manifold density</x:v>
      </x:c>
      <x:c r="B9" s="34" t="str">
        <x:v>higher</x:v>
      </x:c>
      <x:c r="C9" s="34" t="str">
        <x:v>ratio</x:v>
      </x:c>
      <x:c r="D9" s="23" t="n">
        <x:f>'Plot Data'!D10</x:f>
        <x:v>0.6393923611111111</x:v>
      </x:c>
      <x:c r="E9" s="23" t="n">
        <x:f>'Plot Data'!D11</x:f>
        <x:v>0.21039583333333334</x:v>
      </x:c>
      <x:c r="F9" s="23" t="str">
        <x:f>""</x:f>
      </x:c>
      <x:c r="G9" s="23" t="str">
        <x:f>""</x:f>
      </x:c>
      <x:c r="H9" s="23" t="n">
        <x:f>'Plot Data'!F10</x:f>
        <x:v>0.47539322916666665</x:v>
      </x:c>
      <x:c r="I9" s="23" t="n">
        <x:f>'Plot Data'!G10</x:f>
        <x:v>0.749171875</x:v>
      </x:c>
      <x:c r="J9" s="23" t="n">
        <x:f>'Plot Data'!F11</x:f>
        <x:v>0.10061458333333334</x:v>
      </x:c>
      <x:c r="K9" s="23" t="n">
        <x:f>'Plot Data'!G11</x:f>
        <x:v>0.34922395833333336</x:v>
      </x:c>
      <x:c r="L9" s="38" t="str">
        <x:v>Local generated-sample concentration around real examples; may exceed 1.</x:v>
      </x:c>
    </x:row>
    <x:row r="10" ht="30" customHeight="1">
      <x:c r="A10" s="33" t="str">
        <x:v>k=5 manifold coverage</x:v>
      </x:c>
      <x:c r="B10" s="34" t="str">
        <x:v>higher</x:v>
      </x:c>
      <x:c r="C10" s="34" t="str">
        <x:v>fraction</x:v>
      </x:c>
      <x:c r="D10" s="25" t="n">
        <x:f>'Plot Data'!D12</x:f>
        <x:v>0.7560633680555555</x:v>
      </x:c>
      <x:c r="E10" s="25" t="n">
        <x:f>'Plot Data'!D13</x:f>
        <x:v>0.32621961805555555</x:v>
      </x:c>
      <x:c r="F10" s="25" t="str">
        <x:f>""</x:f>
      </x:c>
      <x:c r="G10" s="25" t="str">
        <x:f>""</x:f>
      </x:c>
      <x:c r="H10" s="25" t="n">
        <x:f>'Plot Data'!F12</x:f>
        <x:v>0.676171875</x:v>
      </x:c>
      <x:c r="I10" s="25" t="n">
        <x:f>'Plot Data'!G12</x:f>
        <x:v>0.8537239583333333</x:v>
      </x:c>
      <x:c r="J10" s="25" t="n">
        <x:f>'Plot Data'!F13</x:f>
        <x:v>0.21692708333333333</x:v>
      </x:c>
      <x:c r="K10" s="25" t="n">
        <x:f>'Plot Data'!G13</x:f>
        <x:v>0.4253385416666666</x:v>
      </x:c>
      <x:c r="L10" s="38" t="str">
        <x:v>Fraction of real examples reached by at least one generated sample.</x:v>
      </x:c>
    </x:row>
    <x:row r="11" ht="30" customHeight="1">
      <x:c r="A11" s="33" t="str">
        <x:v>Generated-to-real diversity ratio</x:v>
      </x:c>
      <x:c r="B11" s="34" t="str">
        <x:v>closer to 1</x:v>
      </x:c>
      <x:c r="C11" s="34" t="str">
        <x:v>ratio</x:v>
      </x:c>
      <x:c r="D11" s="23" t="n">
        <x:f>'Plot Data'!D14</x:f>
        <x:v>0.8648948986858475</x:v>
      </x:c>
      <x:c r="E11" s="23" t="n">
        <x:f>'Plot Data'!D15</x:f>
        <x:v>0.861297943172814</x:v>
      </x:c>
      <x:c r="F11" s="23" t="str">
        <x:f>""</x:f>
      </x:c>
      <x:c r="G11" s="23" t="str">
        <x:f>""</x:f>
      </x:c>
      <x:c r="H11" s="23" t="n">
        <x:f>'Plot Data'!F14</x:f>
        <x:v>0.8020418843393248</x:v>
      </x:c>
      <x:c r="I11" s="23" t="n">
        <x:f>'Plot Data'!G14</x:f>
        <x:v>0.9275371669382114</x:v>
      </x:c>
      <x:c r="J11" s="23" t="n">
        <x:f>'Plot Data'!F15</x:f>
        <x:v>0.7670680784904084</x:v>
      </x:c>
      <x:c r="K11" s="23" t="n">
        <x:f>'Plot Data'!G15</x:f>
        <x:v>0.9532919078970149</x:v>
      </x:c>
      <x:c r="L11" s="38" t="str">
        <x:v>Below 1 indicates less feature spread than real test clips.</x:v>
      </x:c>
    </x:row>
    <x:row r="12" ht="30" customHeight="1">
      <x:c r="A12" s="33" t="str">
        <x:v>Pixel-distribution Wasserstein distance</x:v>
      </x:c>
      <x:c r="B12" s="34" t="str">
        <x:v>lower</x:v>
      </x:c>
      <x:c r="C12" s="34" t="str">
        <x:v>distance</x:v>
      </x:c>
      <x:c r="D12" s="23" t="n">
        <x:f>'Plot Data'!D16</x:f>
        <x:v>0.07606552843292955</x:v>
      </x:c>
      <x:c r="E12" s="23" t="n">
        <x:f>'Plot Data'!D17</x:f>
        <x:v>0.20966211395365353</x:v>
      </x:c>
      <x:c r="F12" s="23" t="str">
        <x:f>""</x:f>
      </x:c>
      <x:c r="G12" s="23" t="str">
        <x:f>""</x:f>
      </x:c>
      <x:c r="H12" s="23" t="n">
        <x:f>'Plot Data'!F16</x:f>
        <x:v>0.050203788796257885</x:v>
      </x:c>
      <x:c r="I12" s="23" t="n">
        <x:f>'Plot Data'!G16</x:f>
        <x:v>0.09062292913194454</x:v>
      </x:c>
      <x:c r="J12" s="23" t="n">
        <x:f>'Plot Data'!F17</x:f>
        <x:v>0.14601875237342882</x:v>
      </x:c>
      <x:c r="K12" s="23" t="n">
        <x:f>'Plot Data'!G17</x:f>
        <x:v>0.2844390157657842</x:v>
      </x:c>
      <x:c r="L12" s="38" t="str">
        <x:v>Intensity-distribution difference; ignores spatial structure.</x:v>
      </x:c>
    </x:row>
    <x:row r="13" ht="30" customHeight="1">
      <x:c r="A13" s="33" t="str">
        <x:v>Exact training duplicates</x:v>
      </x:c>
      <x:c r="B13" s="34" t="str">
        <x:v>lower</x:v>
      </x:c>
      <x:c r="C13" s="34" t="str">
        <x:v>count</x:v>
      </x:c>
      <x:c r="D13" s="26" t="n">
        <x:f>'Plot Data'!D18</x:f>
        <x:v>0</x:v>
      </x:c>
      <x:c r="E13" s="26" t="n">
        <x:f>'Plot Data'!D19</x:f>
        <x:v>0</x:v>
      </x:c>
      <x:c r="F13" s="26" t="str">
        <x:f>""</x:f>
      </x:c>
      <x:c r="G13" s="26" t="str">
        <x:f>""</x:f>
      </x:c>
      <x:c r="H13" s="26" t="str">
        <x:f>""</x:f>
      </x:c>
      <x:c r="I13" s="26" t="str">
        <x:f>""</x:f>
      </x:c>
      <x:c r="J13" s="26" t="str">
        <x:f>""</x:f>
      </x:c>
      <x:c r="K13" s="26" t="str">
        <x:f>""</x:f>
      </x:c>
      <x:c r="L13" s="38" t="str">
        <x:v>Exact array duplication; zero does not exclude close memorization.</x:v>
      </x:c>
    </x:row>
    <x:row r="14" ht="30" customHeight="1">
      <x:c r="A14" s="35" t="str">
        <x:v>Below copy-risk threshold</x:v>
      </x:c>
      <x:c r="B14" s="36" t="str">
        <x:v>lower</x:v>
      </x:c>
      <x:c r="C14" s="36" t="str">
        <x:v>fraction</x:v>
      </x:c>
      <x:c r="D14" s="29" t="n">
        <x:f>'Plot Data'!D20</x:f>
        <x:v>0.3644444444444444</x:v>
      </x:c>
      <x:c r="E14" s="29" t="n">
        <x:f>'Plot Data'!D21</x:f>
        <x:v>0.01777777777777778</x:v>
      </x:c>
      <x:c r="F14" s="29" t="str">
        <x:f>""</x:f>
      </x:c>
      <x:c r="G14" s="29" t="str">
        <x:f>""</x:f>
      </x:c>
      <x:c r="H14" s="29" t="n">
        <x:f>'Plot Data'!F20</x:f>
        <x:v>0.16</x:v>
      </x:c>
      <x:c r="I14" s="29" t="n">
        <x:f>'Plot Data'!G20</x:f>
        <x:v>0.49</x:v>
      </x:c>
      <x:c r="J14" s="29" t="n">
        <x:f>'Plot Data'!F21</x:f>
        <x:v>0</x:v>
      </x:c>
      <x:c r="K14" s="29" t="n">
        <x:f>'Plot Data'!G21</x:f>
        <x:v>0.065</x:v>
      </x:c>
      <x:c r="L14" s="39" t="str">
        <x:v>Suspicious closeness flag, not proof of copying.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7.25" hidden="0" customWidth="1"/>
    <x:col min="4" max="4" width="9.380000114440918" hidden="0" customWidth="1"/>
    <x:col min="5" max="5" width="8.630000114440918" hidden="0" customWidth="1"/>
    <x:col min="6" max="6" width="9.380000114440918" hidden="0" customWidth="1"/>
    <x:col min="7" max="7" width="9.380000114440918" hidden="0" customWidth="1"/>
    <x:col min="8" max="8" width="6.75" hidden="0" customWidth="1"/>
    <x:col min="9" max="9" width="8.380000114440918" hidden="0" customWidth="1"/>
    <x:col min="10" max="10" width="48" hidden="0" customWidth="1"/>
    <x:col min="11" max="11" width="32" hidden="0" customWidth="1"/>
    <x:col min="12" max="12" width="48" hidden="0" customWidth="1"/>
  </x:cols>
  <x:sheetData>
    <x:row r="1">
      <x:c r="A1" s="41" t="str">
        <x:v>metric_id</x:v>
      </x:c>
      <x:c r="B1" s="41" t="str">
        <x:v>metric</x:v>
      </x:c>
      <x:c r="C1" s="41" t="str">
        <x:v>model</x:v>
      </x:c>
      <x:c r="D1" s="41" t="str">
        <x:v>value</x:v>
      </x:c>
      <x:c r="E1" s="41" t="str">
        <x:v>sample_sd</x:v>
      </x:c>
      <x:c r="F1" s="41" t="str">
        <x:v>min</x:v>
      </x:c>
      <x:c r="G1" s="41" t="str">
        <x:v>max</x:v>
      </x:c>
      <x:c r="H1" s="41" t="str">
        <x:v>unit</x:v>
      </x:c>
      <x:c r="I1" s="41" t="str">
        <x:v>direction</x:v>
      </x:c>
      <x:c r="J1" s="41" t="str">
        <x:v>aggregation</x:v>
      </x:c>
      <x:c r="K1" s="41" t="str">
        <x:v>source_file</x:v>
      </x:c>
      <x:c r="L1" s="41" t="str">
        <x:v>note</x:v>
      </x:c>
    </x:row>
    <x:row r="2">
      <x:c r="A2" s="42" t="str">
        <x:v>conditioning_macro_f1</x:v>
      </x:c>
      <x:c r="B2" s="42" t="str">
        <x:v>Conditioning macro F1</x:v>
      </x:c>
      <x:c r="C2" s="42" t="str">
        <x:v>VAE-v3</x:v>
      </x:c>
      <x:c r="D2" s="43" t="n">
        <x:v>0.9688259393418699</x:v>
      </x:c>
      <x:c r="E2" s="43" t="n">
        <x:v>0.0053722620224398495</x:v>
      </x:c>
      <x:c r="F2" s="43" t="n">
        <x:v>0.9649366006417325</x:v>
      </x:c>
      <x:c r="G2" s="43" t="n">
        <x:v>0.9749558186740613</x:v>
      </x:c>
      <x:c r="H2" s="42" t="str">
        <x:v>fraction</x:v>
      </x:c>
      <x:c r="I2" s="42" t="str">
        <x:v>higher</x:v>
      </x:c>
      <x:c r="J2" s="42" t="str">
        <x:v>CRNN generated-sample macro F1 across seeds 42/123/777</x:v>
      </x:c>
      <x:c r="K2" s="42" t="str">
        <x:v>classifier_scores.csv</x:v>
      </x:c>
      <x:c r="L2" s="42" t="str">
        <x:v>Classifier compatibility, not perceptual realism.</x:v>
      </x:c>
    </x:row>
    <x:row r="3">
      <x:c r="A3" s="42" t="str">
        <x:v>conditioning_macro_f1</x:v>
      </x:c>
      <x:c r="B3" s="42" t="str">
        <x:v>Conditioning macro F1</x:v>
      </x:c>
      <x:c r="C3" s="42" t="str">
        <x:v>Diffusion</x:v>
      </x:c>
      <x:c r="D3" s="43" t="n">
        <x:v>0.6834769502427248</x:v>
      </x:c>
      <x:c r="E3" s="43" t="n">
        <x:v>0.42495970910850167</x:v>
      </x:c>
      <x:c r="F3" s="43" t="n">
        <x:v>0.19278375149342888</x:v>
      </x:c>
      <x:c r="G3" s="43" t="n">
        <x:v>0.9312510774689731</x:v>
      </x:c>
      <x:c r="H3" s="42" t="str">
        <x:v>fraction</x:v>
      </x:c>
      <x:c r="I3" s="42" t="str">
        <x:v>higher</x:v>
      </x:c>
      <x:c r="J3" s="42" t="str">
        <x:v>CRNN generated-sample macro F1 across seeds 42/123/777</x:v>
      </x:c>
      <x:c r="K3" s="42" t="str">
        <x:v>classifier_scores.csv</x:v>
      </x:c>
      <x:c r="L3" s="42" t="str">
        <x:v>Classifier compatibility, not perceptual realism.</x:v>
      </x:c>
    </x:row>
    <x:row r="4">
      <x:c r="A4" s="42" t="str">
        <x:v>frechet_feature_distance</x:v>
      </x:c>
      <x:c r="B4" s="42" t="str">
        <x:v>Fréchet classifier-feature distance</x:v>
      </x:c>
      <x:c r="C4" s="42" t="str">
        <x:v>VAE-v3</x:v>
      </x:c>
      <x:c r="D4" s="43" t="n">
        <x:v>22.580292299253433</x:v>
      </x:c>
      <x:c r="E4" s="43"/>
      <x:c r="F4" s="43" t="n">
        <x:v>12.51717121405561</x:v>
      </x:c>
      <x:c r="G4" s="43" t="n">
        <x:v>41.21870743931243</x:v>
      </x:c>
      <x:c r="H4" s="42" t="str">
        <x:v>distance</x:v>
      </x:c>
      <x:c r="I4" s="42" t="str">
        <x:v>lower</x:v>
      </x:c>
      <x:c r="J4" s="42" t="str">
        <x:v>Equal-species mean of three-seed CRNN feature-distance means</x:v>
      </x:c>
      <x:c r="K4" s="42" t="str">
        <x:v>metrics_aggregate.csv</x:v>
      </x:c>
      <x:c r="L4" s="42" t="str">
        <x:v>Comparable within this CRNN feature space only.</x:v>
      </x:c>
    </x:row>
    <x:row r="5">
      <x:c r="A5" s="42" t="str">
        <x:v>frechet_feature_distance</x:v>
      </x:c>
      <x:c r="B5" s="42" t="str">
        <x:v>Fréchet classifier-feature distance</x:v>
      </x:c>
      <x:c r="C5" s="42" t="str">
        <x:v>Diffusion</x:v>
      </x:c>
      <x:c r="D5" s="43" t="n">
        <x:v>210.06325575757094</x:v>
      </x:c>
      <x:c r="E5" s="43"/>
      <x:c r="F5" s="43" t="n">
        <x:v>132.05451905301712</x:v>
      </x:c>
      <x:c r="G5" s="43" t="n">
        <x:v>286.0963386011635</x:v>
      </x:c>
      <x:c r="H5" s="42" t="str">
        <x:v>distance</x:v>
      </x:c>
      <x:c r="I5" s="42" t="str">
        <x:v>lower</x:v>
      </x:c>
      <x:c r="J5" s="42" t="str">
        <x:v>Equal-species mean of three-seed CRNN feature-distance means</x:v>
      </x:c>
      <x:c r="K5" s="42" t="str">
        <x:v>metrics_aggregate.csv</x:v>
      </x:c>
      <x:c r="L5" s="42" t="str">
        <x:v>Comparable within this CRNN feature space only.</x:v>
      </x:c>
    </x:row>
    <x:row r="6">
      <x:c r="A6" s="42" t="str">
        <x:v>manifold_precision</x:v>
      </x:c>
      <x:c r="B6" s="42" t="str">
        <x:v>k=5 manifold precision</x:v>
      </x:c>
      <x:c r="C6" s="42" t="str">
        <x:v>VAE-v3</x:v>
      </x:c>
      <x:c r="D6" s="43" t="n">
        <x:v>0.8563758680555554</x:v>
      </x:c>
      <x:c r="E6" s="43"/>
      <x:c r="F6" s="43" t="n">
        <x:v>0.761875</x:v>
      </x:c>
      <x:c r="G6" s="43" t="n">
        <x:v>0.9051692708333333</x:v>
      </x:c>
      <x:c r="H6" s="42" t="str">
        <x:v>fraction</x:v>
      </x:c>
      <x:c r="I6" s="42" t="str">
        <x:v>higher</x:v>
      </x:c>
      <x:c r="J6" s="42" t="str">
        <x:v>Equal-species mean of three-seed CRNN resampling means</x:v>
      </x:c>
      <x:c r="K6" s="42" t="str">
        <x:v>metrics_aggregate.csv</x:v>
      </x:c>
      <x:c r="L6" s="42" t="str">
        <x:v>Generated samples lying within the real-data manifold.</x:v>
      </x:c>
    </x:row>
    <x:row r="7">
      <x:c r="A7" s="42" t="str">
        <x:v>manifold_precision</x:v>
      </x:c>
      <x:c r="B7" s="42" t="str">
        <x:v>k=5 manifold precision</x:v>
      </x:c>
      <x:c r="C7" s="42" t="str">
        <x:v>Diffusion</x:v>
      </x:c>
      <x:c r="D7" s="43" t="n">
        <x:v>0.3953038194444444</x:v>
      </x:c>
      <x:c r="E7" s="43"/>
      <x:c r="F7" s="43" t="n">
        <x:v>0.2546614583333333</x:v>
      </x:c>
      <x:c r="G7" s="43" t="n">
        <x:v>0.5651432291666666</x:v>
      </x:c>
      <x:c r="H7" s="42" t="str">
        <x:v>fraction</x:v>
      </x:c>
      <x:c r="I7" s="42" t="str">
        <x:v>higher</x:v>
      </x:c>
      <x:c r="J7" s="42" t="str">
        <x:v>Equal-species mean of three-seed CRNN resampling means</x:v>
      </x:c>
      <x:c r="K7" s="42" t="str">
        <x:v>metrics_aggregate.csv</x:v>
      </x:c>
      <x:c r="L7" s="42" t="str">
        <x:v>Generated samples lying within the real-data manifold.</x:v>
      </x:c>
    </x:row>
    <x:row r="8">
      <x:c r="A8" s="42" t="str">
        <x:v>manifold_recall</x:v>
      </x:c>
      <x:c r="B8" s="42" t="str">
        <x:v>k=5 manifold recall</x:v>
      </x:c>
      <x:c r="C8" s="42" t="str">
        <x:v>VAE-v3</x:v>
      </x:c>
      <x:c r="D8" s="43" t="n">
        <x:v>0.9012109375</x:v>
      </x:c>
      <x:c r="E8" s="43"/>
      <x:c r="F8" s="43" t="n">
        <x:v>0.8727994791666668</x:v>
      </x:c>
      <x:c r="G8" s="43" t="n">
        <x:v>0.9183723958333333</x:v>
      </x:c>
      <x:c r="H8" s="42" t="str">
        <x:v>fraction</x:v>
      </x:c>
      <x:c r="I8" s="42" t="str">
        <x:v>higher</x:v>
      </x:c>
      <x:c r="J8" s="42" t="str">
        <x:v>Equal-species mean of three-seed CRNN resampling means</x:v>
      </x:c>
      <x:c r="K8" s="42" t="str">
        <x:v>metrics_aggregate.csv</x:v>
      </x:c>
      <x:c r="L8" s="42" t="str">
        <x:v>Real-data variation reached by the generated manifold.</x:v>
      </x:c>
    </x:row>
    <x:row r="9">
      <x:c r="A9" s="42" t="str">
        <x:v>manifold_recall</x:v>
      </x:c>
      <x:c r="B9" s="42" t="str">
        <x:v>k=5 manifold recall</x:v>
      </x:c>
      <x:c r="C9" s="42" t="str">
        <x:v>Diffusion</x:v>
      </x:c>
      <x:c r="D9" s="43" t="n">
        <x:v>0.5487717013888889</x:v>
      </x:c>
      <x:c r="E9" s="43"/>
      <x:c r="F9" s="43" t="n">
        <x:v>0.524921875</x:v>
      </x:c>
      <x:c r="G9" s="43" t="n">
        <x:v>0.5843489583333333</x:v>
      </x:c>
      <x:c r="H9" s="42" t="str">
        <x:v>fraction</x:v>
      </x:c>
      <x:c r="I9" s="42" t="str">
        <x:v>higher</x:v>
      </x:c>
      <x:c r="J9" s="42" t="str">
        <x:v>Equal-species mean of three-seed CRNN resampling means</x:v>
      </x:c>
      <x:c r="K9" s="42" t="str">
        <x:v>metrics_aggregate.csv</x:v>
      </x:c>
      <x:c r="L9" s="42" t="str">
        <x:v>Real-data variation reached by the generated manifold.</x:v>
      </x:c>
    </x:row>
    <x:row r="10">
      <x:c r="A10" s="42" t="str">
        <x:v>manifold_density</x:v>
      </x:c>
      <x:c r="B10" s="42" t="str">
        <x:v>k=5 manifold density</x:v>
      </x:c>
      <x:c r="C10" s="42" t="str">
        <x:v>VAE-v3</x:v>
      </x:c>
      <x:c r="D10" s="43" t="n">
        <x:v>0.6393923611111111</x:v>
      </x:c>
      <x:c r="E10" s="43"/>
      <x:c r="F10" s="43" t="n">
        <x:v>0.47539322916666665</x:v>
      </x:c>
      <x:c r="G10" s="43" t="n">
        <x:v>0.749171875</x:v>
      </x:c>
      <x:c r="H10" s="42" t="str">
        <x:v>ratio</x:v>
      </x:c>
      <x:c r="I10" s="42" t="str">
        <x:v>higher</x:v>
      </x:c>
      <x:c r="J10" s="42" t="str">
        <x:v>Equal-species mean of three-seed CRNN resampling means</x:v>
      </x:c>
      <x:c r="K10" s="42" t="str">
        <x:v>metrics_aggregate.csv</x:v>
      </x:c>
      <x:c r="L10" s="42" t="str">
        <x:v>Local generated-sample concentration around real examples; may exceed 1.</x:v>
      </x:c>
    </x:row>
    <x:row r="11">
      <x:c r="A11" s="42" t="str">
        <x:v>manifold_density</x:v>
      </x:c>
      <x:c r="B11" s="42" t="str">
        <x:v>k=5 manifold density</x:v>
      </x:c>
      <x:c r="C11" s="42" t="str">
        <x:v>Diffusion</x:v>
      </x:c>
      <x:c r="D11" s="43" t="n">
        <x:v>0.21039583333333334</x:v>
      </x:c>
      <x:c r="E11" s="43"/>
      <x:c r="F11" s="43" t="n">
        <x:v>0.10061458333333334</x:v>
      </x:c>
      <x:c r="G11" s="43" t="n">
        <x:v>0.34922395833333336</x:v>
      </x:c>
      <x:c r="H11" s="42" t="str">
        <x:v>ratio</x:v>
      </x:c>
      <x:c r="I11" s="42" t="str">
        <x:v>higher</x:v>
      </x:c>
      <x:c r="J11" s="42" t="str">
        <x:v>Equal-species mean of three-seed CRNN resampling means</x:v>
      </x:c>
      <x:c r="K11" s="42" t="str">
        <x:v>metrics_aggregate.csv</x:v>
      </x:c>
      <x:c r="L11" s="42" t="str">
        <x:v>Local generated-sample concentration around real examples; may exceed 1.</x:v>
      </x:c>
    </x:row>
    <x:row r="12">
      <x:c r="A12" s="42" t="str">
        <x:v>manifold_coverage</x:v>
      </x:c>
      <x:c r="B12" s="42" t="str">
        <x:v>k=5 manifold coverage</x:v>
      </x:c>
      <x:c r="C12" s="42" t="str">
        <x:v>VAE-v3</x:v>
      </x:c>
      <x:c r="D12" s="43" t="n">
        <x:v>0.7560633680555555</x:v>
      </x:c>
      <x:c r="E12" s="43"/>
      <x:c r="F12" s="43" t="n">
        <x:v>0.676171875</x:v>
      </x:c>
      <x:c r="G12" s="43" t="n">
        <x:v>0.8537239583333333</x:v>
      </x:c>
      <x:c r="H12" s="42" t="str">
        <x:v>fraction</x:v>
      </x:c>
      <x:c r="I12" s="42" t="str">
        <x:v>higher</x:v>
      </x:c>
      <x:c r="J12" s="42" t="str">
        <x:v>Equal-species mean of three-seed CRNN resampling means</x:v>
      </x:c>
      <x:c r="K12" s="42" t="str">
        <x:v>metrics_aggregate.csv</x:v>
      </x:c>
      <x:c r="L12" s="42" t="str">
        <x:v>Fraction of real examples reached by at least one generated sample.</x:v>
      </x:c>
    </x:row>
    <x:row r="13">
      <x:c r="A13" s="42" t="str">
        <x:v>manifold_coverage</x:v>
      </x:c>
      <x:c r="B13" s="42" t="str">
        <x:v>k=5 manifold coverage</x:v>
      </x:c>
      <x:c r="C13" s="42" t="str">
        <x:v>Diffusion</x:v>
      </x:c>
      <x:c r="D13" s="43" t="n">
        <x:v>0.32621961805555555</x:v>
      </x:c>
      <x:c r="E13" s="43"/>
      <x:c r="F13" s="43" t="n">
        <x:v>0.21692708333333333</x:v>
      </x:c>
      <x:c r="G13" s="43" t="n">
        <x:v>0.4253385416666666</x:v>
      </x:c>
      <x:c r="H13" s="42" t="str">
        <x:v>fraction</x:v>
      </x:c>
      <x:c r="I13" s="42" t="str">
        <x:v>higher</x:v>
      </x:c>
      <x:c r="J13" s="42" t="str">
        <x:v>Equal-species mean of three-seed CRNN resampling means</x:v>
      </x:c>
      <x:c r="K13" s="42" t="str">
        <x:v>metrics_aggregate.csv</x:v>
      </x:c>
      <x:c r="L13" s="42" t="str">
        <x:v>Fraction of real examples reached by at least one generated sample.</x:v>
      </x:c>
    </x:row>
    <x:row r="14">
      <x:c r="A14" s="42" t="str">
        <x:v>diversity_ratio</x:v>
      </x:c>
      <x:c r="B14" s="42" t="str">
        <x:v>Generated-to-real diversity ratio</x:v>
      </x:c>
      <x:c r="C14" s="42" t="str">
        <x:v>VAE-v3</x:v>
      </x:c>
      <x:c r="D14" s="43" t="n">
        <x:v>0.8648948986858475</x:v>
      </x:c>
      <x:c r="E14" s="43"/>
      <x:c r="F14" s="43" t="n">
        <x:v>0.8020418843393248</x:v>
      </x:c>
      <x:c r="G14" s="43" t="n">
        <x:v>0.9275371669382114</x:v>
      </x:c>
      <x:c r="H14" s="42" t="str">
        <x:v>ratio</x:v>
      </x:c>
      <x:c r="I14" s="42" t="str">
        <x:v>closer to 1</x:v>
      </x:c>
      <x:c r="J14" s="42" t="str">
        <x:v>Equal-species mean of CRNN within-species diversity ratios</x:v>
      </x:c>
      <x:c r="K14" s="42" t="str">
        <x:v>metrics_aggregate.csv</x:v>
      </x:c>
      <x:c r="L14" s="42" t="str">
        <x:v>Below 1 indicates less feature spread than real test clips.</x:v>
      </x:c>
    </x:row>
    <x:row r="15">
      <x:c r="A15" s="42" t="str">
        <x:v>diversity_ratio</x:v>
      </x:c>
      <x:c r="B15" s="42" t="str">
        <x:v>Generated-to-real diversity ratio</x:v>
      </x:c>
      <x:c r="C15" s="42" t="str">
        <x:v>Diffusion</x:v>
      </x:c>
      <x:c r="D15" s="43" t="n">
        <x:v>0.861297943172814</x:v>
      </x:c>
      <x:c r="E15" s="43"/>
      <x:c r="F15" s="43" t="n">
        <x:v>0.7670680784904084</x:v>
      </x:c>
      <x:c r="G15" s="43" t="n">
        <x:v>0.9532919078970149</x:v>
      </x:c>
      <x:c r="H15" s="42" t="str">
        <x:v>ratio</x:v>
      </x:c>
      <x:c r="I15" s="42" t="str">
        <x:v>closer to 1</x:v>
      </x:c>
      <x:c r="J15" s="42" t="str">
        <x:v>Equal-species mean of CRNN within-species diversity ratios</x:v>
      </x:c>
      <x:c r="K15" s="42" t="str">
        <x:v>metrics_aggregate.csv</x:v>
      </x:c>
      <x:c r="L15" s="42" t="str">
        <x:v>Below 1 indicates less feature spread than real test clips.</x:v>
      </x:c>
    </x:row>
    <x:row r="16">
      <x:c r="A16" s="42" t="str">
        <x:v>pixel_wasserstein</x:v>
      </x:c>
      <x:c r="B16" s="42" t="str">
        <x:v>Pixel-distribution Wasserstein distance</x:v>
      </x:c>
      <x:c r="C16" s="42" t="str">
        <x:v>VAE-v3</x:v>
      </x:c>
      <x:c r="D16" s="43" t="n">
        <x:v>0.07606552843292955</x:v>
      </x:c>
      <x:c r="E16" s="43"/>
      <x:c r="F16" s="43" t="n">
        <x:v>0.050203788796257885</x:v>
      </x:c>
      <x:c r="G16" s="43" t="n">
        <x:v>0.09062292913194454</x:v>
      </x:c>
      <x:c r="H16" s="42" t="str">
        <x:v>distance</x:v>
      </x:c>
      <x:c r="I16" s="42" t="str">
        <x:v>lower</x:v>
      </x:c>
      <x:c r="J16" s="42" t="str">
        <x:v>Equal-species mean across generation seeds</x:v>
      </x:c>
      <x:c r="K16" s="42" t="str">
        <x:v>metrics_aggregate.csv</x:v>
      </x:c>
      <x:c r="L16" s="42" t="str">
        <x:v>Intensity-distribution difference; ignores spatial structure.</x:v>
      </x:c>
    </x:row>
    <x:row r="17">
      <x:c r="A17" s="42" t="str">
        <x:v>pixel_wasserstein</x:v>
      </x:c>
      <x:c r="B17" s="42" t="str">
        <x:v>Pixel-distribution Wasserstein distance</x:v>
      </x:c>
      <x:c r="C17" s="42" t="str">
        <x:v>Diffusion</x:v>
      </x:c>
      <x:c r="D17" s="43" t="n">
        <x:v>0.20966211395365353</x:v>
      </x:c>
      <x:c r="E17" s="43"/>
      <x:c r="F17" s="43" t="n">
        <x:v>0.14601875237342882</x:v>
      </x:c>
      <x:c r="G17" s="43" t="n">
        <x:v>0.2844390157657842</x:v>
      </x:c>
      <x:c r="H17" s="42" t="str">
        <x:v>distance</x:v>
      </x:c>
      <x:c r="I17" s="42" t="str">
        <x:v>lower</x:v>
      </x:c>
      <x:c r="J17" s="42" t="str">
        <x:v>Equal-species mean across generation seeds</x:v>
      </x:c>
      <x:c r="K17" s="42" t="str">
        <x:v>metrics_aggregate.csv</x:v>
      </x:c>
      <x:c r="L17" s="42" t="str">
        <x:v>Intensity-distribution difference; ignores spatial structure.</x:v>
      </x:c>
    </x:row>
    <x:row r="18">
      <x:c r="A18" s="42" t="str">
        <x:v>exact_train_duplicates</x:v>
      </x:c>
      <x:c r="B18" s="42" t="str">
        <x:v>Exact training duplicates</x:v>
      </x:c>
      <x:c r="C18" s="42" t="str">
        <x:v>VAE-v3</x:v>
      </x:c>
      <x:c r="D18" s="43" t="n">
        <x:v>0</x:v>
      </x:c>
      <x:c r="E18" s="43"/>
      <x:c r="F18" s="43"/>
      <x:c r="G18" s="43"/>
      <x:c r="H18" s="42" t="str">
        <x:v>count</x:v>
      </x:c>
      <x:c r="I18" s="42" t="str">
        <x:v>lower</x:v>
      </x:c>
      <x:c r="J18" s="42" t="str">
        <x:v>Maximum recorded CRNN duplicate count across species and seeds</x:v>
      </x:c>
      <x:c r="K18" s="42" t="str">
        <x:v>nearest_neighbor_summary.csv</x:v>
      </x:c>
      <x:c r="L18" s="42" t="str">
        <x:v>Exact array duplication; zero does not exclude close memorization.</x:v>
      </x:c>
    </x:row>
    <x:row r="19">
      <x:c r="A19" s="42" t="str">
        <x:v>exact_train_duplicates</x:v>
      </x:c>
      <x:c r="B19" s="42" t="str">
        <x:v>Exact training duplicates</x:v>
      </x:c>
      <x:c r="C19" s="42" t="str">
        <x:v>Diffusion</x:v>
      </x:c>
      <x:c r="D19" s="43" t="n">
        <x:v>0</x:v>
      </x:c>
      <x:c r="E19" s="43"/>
      <x:c r="F19" s="43"/>
      <x:c r="G19" s="43"/>
      <x:c r="H19" s="42" t="str">
        <x:v>count</x:v>
      </x:c>
      <x:c r="I19" s="42" t="str">
        <x:v>lower</x:v>
      </x:c>
      <x:c r="J19" s="42" t="str">
        <x:v>Maximum recorded CRNN duplicate count across species and seeds</x:v>
      </x:c>
      <x:c r="K19" s="42" t="str">
        <x:v>nearest_neighbor_summary.csv</x:v>
      </x:c>
      <x:c r="L19" s="42" t="str">
        <x:v>Exact array duplication; zero does not exclude close memorization.</x:v>
      </x:c>
    </x:row>
    <x:row r="20">
      <x:c r="A20" s="42" t="str">
        <x:v>copy_risk_fraction</x:v>
      </x:c>
      <x:c r="B20" s="42" t="str">
        <x:v>Below copy-risk threshold</x:v>
      </x:c>
      <x:c r="C20" s="42" t="str">
        <x:v>VAE-v3</x:v>
      </x:c>
      <x:c r="D20" s="43" t="n">
        <x:v>0.3644444444444444</x:v>
      </x:c>
      <x:c r="E20" s="43"/>
      <x:c r="F20" s="43" t="n">
        <x:v>0.16</x:v>
      </x:c>
      <x:c r="G20" s="43" t="n">
        <x:v>0.49</x:v>
      </x:c>
      <x:c r="H20" s="42" t="str">
        <x:v>fraction</x:v>
      </x:c>
      <x:c r="I20" s="42" t="str">
        <x:v>lower</x:v>
      </x:c>
      <x:c r="J20" s="42" t="str">
        <x:v>Equal species-and-seed mean using validation-derived CRNN thresholds</x:v>
      </x:c>
      <x:c r="K20" s="42" t="str">
        <x:v>nearest_neighbor_summary.csv</x:v>
      </x:c>
      <x:c r="L20" s="42" t="str">
        <x:v>Suspicious closeness flag, not proof of copying.</x:v>
      </x:c>
    </x:row>
    <x:row r="21">
      <x:c r="A21" s="42" t="str">
        <x:v>copy_risk_fraction</x:v>
      </x:c>
      <x:c r="B21" s="42" t="str">
        <x:v>Below copy-risk threshold</x:v>
      </x:c>
      <x:c r="C21" s="42" t="str">
        <x:v>Diffusion</x:v>
      </x:c>
      <x:c r="D21" s="43" t="n">
        <x:v>0.01777777777777778</x:v>
      </x:c>
      <x:c r="E21" s="43"/>
      <x:c r="F21" s="43" t="n">
        <x:v>0</x:v>
      </x:c>
      <x:c r="G21" s="43" t="n">
        <x:v>0.065</x:v>
      </x:c>
      <x:c r="H21" s="42" t="str">
        <x:v>fraction</x:v>
      </x:c>
      <x:c r="I21" s="42" t="str">
        <x:v>lower</x:v>
      </x:c>
      <x:c r="J21" s="42" t="str">
        <x:v>Equal species-and-seed mean using validation-derived CRNN thresholds</x:v>
      </x:c>
      <x:c r="K21" s="42" t="str">
        <x:v>nearest_neighbor_summary.csv</x:v>
      </x:c>
      <x:c r="L21" s="42" t="str">
        <x:v>Suspicious closeness flag, not proof of copying.</x:v>
      </x:c>
    </x:row>
  </x:sheetData>
  <x:pageMargins left="0.7" right="0.7" top="0.75" bottom="0.75" header="0.3" footer="0.3"/>
  <x:tableParts count="1">
    <x:tablePart xmlns:r="http://schemas.openxmlformats.org/officeDocument/2006/relationships" r:id="R2aefd7c16fc94d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.130000114440918" hidden="0" customWidth="1"/>
    <x:col min="3" max="3" width="7.25" hidden="0" customWidth="1"/>
    <x:col min="4" max="4" width="11.25" hidden="0" customWidth="1"/>
    <x:col min="5" max="5" width="7.130000114440918" hidden="0" customWidth="1"/>
    <x:col min="6" max="6" width="7.75" hidden="0" customWidth="1"/>
    <x:col min="7" max="7" width="10.380000114440918" hidden="0" customWidth="1"/>
    <x:col min="8" max="8" width="14.130000114440918" hidden="0" customWidth="1"/>
    <x:col min="9" max="9" width="11.75" hidden="0" customWidth="1"/>
  </x:cols>
  <x:sheetData>
    <x:row r="1">
      <x:c r="A1" s="10" t="str">
        <x:v>model</x:v>
      </x:c>
      <x:c r="B1" s="10" t="str">
        <x:v>seed</x:v>
      </x:c>
      <x:c r="C1" s="10" t="str">
        <x:v>classifier</x:v>
      </x:c>
      <x:c r="D1" s="10" t="str">
        <x:v>sample_count</x:v>
      </x:c>
      <x:c r="E1" s="10" t="str">
        <x:v>accuracy</x:v>
      </x:c>
      <x:c r="F1" s="10" t="str">
        <x:v>macro_f1</x:v>
      </x:c>
      <x:c r="G1" s="10" t="str">
        <x:v>macro_recall</x:v>
      </x:c>
      <x:c r="H1" s="10" t="str">
        <x:v>mean_confidence</x:v>
      </x:c>
      <x:c r="I1" s="10" t="str">
        <x:v>mean_entropy</x:v>
      </x:c>
    </x:row>
    <x:row r="2">
      <x:c r="A2" t="str">
        <x:v>vae_v3</x:v>
      </x:c>
      <x:c r="B2" t="n">
        <x:v>42</x:v>
      </x:c>
      <x:c r="C2" t="str">
        <x:v>crnn</x:v>
      </x:c>
      <x:c r="D2" t="n">
        <x:v>600</x:v>
      </x:c>
      <x:c r="E2" s="1" t="n">
        <x:v>0.965</x:v>
      </x:c>
      <x:c r="F2" s="1" t="n">
        <x:v>0.9649366006417325</x:v>
      </x:c>
      <x:c r="G2" s="1" t="n">
        <x:v>0.965</x:v>
      </x:c>
      <x:c r="H2" s="2" t="n">
        <x:v>0.9431807398796082</x:v>
      </x:c>
      <x:c r="I2" s="2" t="n">
        <x:v>0.2124754786491394</x:v>
      </x:c>
    </x:row>
    <x:row r="3">
      <x:c r="A3" t="str">
        <x:v>vae_v3</x:v>
      </x:c>
      <x:c r="B3" t="n">
        <x:v>123</x:v>
      </x:c>
      <x:c r="C3" t="str">
        <x:v>crnn</x:v>
      </x:c>
      <x:c r="D3" t="n">
        <x:v>600</x:v>
      </x:c>
      <x:c r="E3" s="1" t="n">
        <x:v>0.9666666666666667</x:v>
      </x:c>
      <x:c r="F3" s="1" t="n">
        <x:v>0.966585398709816</x:v>
      </x:c>
      <x:c r="G3" s="1" t="n">
        <x:v>0.9666666666666667</x:v>
      </x:c>
      <x:c r="H3" s="2" t="n">
        <x:v>0.9398832321166992</x:v>
      </x:c>
      <x:c r="I3" s="2" t="n">
        <x:v>0.216549351811409</x:v>
      </x:c>
    </x:row>
    <x:row r="4">
      <x:c r="A4" t="str">
        <x:v>vae_v3</x:v>
      </x:c>
      <x:c r="B4" t="n">
        <x:v>777</x:v>
      </x:c>
      <x:c r="C4" t="str">
        <x:v>crnn</x:v>
      </x:c>
      <x:c r="D4" t="n">
        <x:v>600</x:v>
      </x:c>
      <x:c r="E4" s="1" t="n">
        <x:v>0.975</x:v>
      </x:c>
      <x:c r="F4" s="1" t="n">
        <x:v>0.9749558186740613</x:v>
      </x:c>
      <x:c r="G4" s="1" t="n">
        <x:v>0.975</x:v>
      </x:c>
      <x:c r="H4" s="2" t="n">
        <x:v>0.9460520148277283</x:v>
      </x:c>
      <x:c r="I4" s="2" t="n">
        <x:v>0.2066756784915924</x:v>
      </x:c>
    </x:row>
    <x:row r="5">
      <x:c r="A5" t="str">
        <x:v>diffusion</x:v>
      </x:c>
      <x:c r="B5" t="n">
        <x:v>42</x:v>
      </x:c>
      <x:c r="C5" t="str">
        <x:v>crnn</x:v>
      </x:c>
      <x:c r="D5" t="n">
        <x:v>600</x:v>
      </x:c>
      <x:c r="E5" s="1" t="n">
        <x:v>0.345</x:v>
      </x:c>
      <x:c r="F5" s="1" t="n">
        <x:v>0.19278375149342888</x:v>
      </x:c>
      <x:c r="G5" s="1" t="n">
        <x:v>0.345</x:v>
      </x:c>
      <x:c r="H5" s="2" t="n">
        <x:v>0.8433196544647217</x:v>
      </x:c>
      <x:c r="I5" s="2" t="n">
        <x:v>0.4504561722278595</x:v>
      </x:c>
    </x:row>
    <x:row r="6">
      <x:c r="A6" t="str">
        <x:v>diffusion</x:v>
      </x:c>
      <x:c r="B6" t="n">
        <x:v>123</x:v>
      </x:c>
      <x:c r="C6" t="str">
        <x:v>crnn</x:v>
      </x:c>
      <x:c r="D6" t="n">
        <x:v>600</x:v>
      </x:c>
      <x:c r="E6" s="1" t="n">
        <x:v>0.9266666666666666</x:v>
      </x:c>
      <x:c r="F6" s="1" t="n">
        <x:v>0.9263960217657726</x:v>
      </x:c>
      <x:c r="G6" s="1" t="n">
        <x:v>0.9266666666666667</x:v>
      </x:c>
      <x:c r="H6" s="2" t="n">
        <x:v>0.9285311698913574</x:v>
      </x:c>
      <x:c r="I6" s="2" t="n">
        <x:v>0.23391474783420563</x:v>
      </x:c>
    </x:row>
    <x:row r="7">
      <x:c r="A7" t="str">
        <x:v>diffusion</x:v>
      </x:c>
      <x:c r="B7" t="n">
        <x:v>777</x:v>
      </x:c>
      <x:c r="C7" t="str">
        <x:v>crnn</x:v>
      </x:c>
      <x:c r="D7" t="n">
        <x:v>600</x:v>
      </x:c>
      <x:c r="E7" s="1" t="n">
        <x:v>0.9316666666666666</x:v>
      </x:c>
      <x:c r="F7" s="1" t="n">
        <x:v>0.9312510774689731</x:v>
      </x:c>
      <x:c r="G7" s="1" t="n">
        <x:v>0.9316666666666666</x:v>
      </x:c>
      <x:c r="H7" s="2" t="n">
        <x:v>0.9395730495452881</x:v>
      </x:c>
      <x:c r="I7" s="2" t="n">
        <x:v>0.21340470016002655</x:v>
      </x:c>
    </x:row>
    <x:row r="8">
      <x:c r="A8" t="str">
        <x:v>vae_v3</x:v>
      </x:c>
      <x:c r="B8" t="n">
        <x:v>42</x:v>
      </x:c>
      <x:c r="C8" t="str">
        <x:v>residual</x:v>
      </x:c>
      <x:c r="D8" t="n">
        <x:v>600</x:v>
      </x:c>
      <x:c r="E8" s="1" t="n">
        <x:v>0.9883333333333333</x:v>
      </x:c>
      <x:c r="F8" s="1" t="n">
        <x:v>0.9883326770464173</x:v>
      </x:c>
      <x:c r="G8" s="1" t="n">
        <x:v>0.9883333333333333</x:v>
      </x:c>
      <x:c r="H8" s="2" t="n">
        <x:v>0.9192094206809998</x:v>
      </x:c>
      <x:c r="I8" s="2" t="n">
        <x:v>0.27491724491119385</x:v>
      </x:c>
    </x:row>
    <x:row r="9">
      <x:c r="A9" t="str">
        <x:v>vae_v3</x:v>
      </x:c>
      <x:c r="B9" t="n">
        <x:v>123</x:v>
      </x:c>
      <x:c r="C9" t="str">
        <x:v>residual</x:v>
      </x:c>
      <x:c r="D9" t="n">
        <x:v>600</x:v>
      </x:c>
      <x:c r="E9" s="1" t="n">
        <x:v>0.9833333333333333</x:v>
      </x:c>
      <x:c r="F9" s="1" t="n">
        <x:v>0.9833295824893935</x:v>
      </x:c>
      <x:c r="G9" s="1" t="n">
        <x:v>0.9833333333333334</x:v>
      </x:c>
      <x:c r="H9" s="2" t="n">
        <x:v>0.919731855392456</x:v>
      </x:c>
      <x:c r="I9" s="2" t="n">
        <x:v>0.2742236256599426</x:v>
      </x:c>
    </x:row>
    <x:row r="10">
      <x:c r="A10" t="str">
        <x:v>vae_v3</x:v>
      </x:c>
      <x:c r="B10" t="n">
        <x:v>777</x:v>
      </x:c>
      <x:c r="C10" t="str">
        <x:v>residual</x:v>
      </x:c>
      <x:c r="D10" t="n">
        <x:v>600</x:v>
      </x:c>
      <x:c r="E10" s="1" t="n">
        <x:v>0.9916666666666667</x:v>
      </x:c>
      <x:c r="F10" s="1" t="n">
        <x:v>0.991666197890298</x:v>
      </x:c>
      <x:c r="G10" s="1" t="n">
        <x:v>0.9916666666666667</x:v>
      </x:c>
      <x:c r="H10" s="2" t="n">
        <x:v>0.9235396385192871</x:v>
      </x:c>
      <x:c r="I10" s="2" t="n">
        <x:v>0.26493871212005615</x:v>
      </x:c>
    </x:row>
    <x:row r="11">
      <x:c r="A11" t="str">
        <x:v>diffusion</x:v>
      </x:c>
      <x:c r="B11" t="n">
        <x:v>42</x:v>
      </x:c>
      <x:c r="C11" t="str">
        <x:v>residual</x:v>
      </x:c>
      <x:c r="D11" t="n">
        <x:v>600</x:v>
      </x:c>
      <x:c r="E11" s="1" t="n">
        <x:v>0.3333333333333333</x:v>
      </x:c>
      <x:c r="F11" s="1" t="n">
        <x:v>0.16666666666666666</x:v>
      </x:c>
      <x:c r="G11" s="1" t="n">
        <x:v>0.3333333333333333</x:v>
      </x:c>
      <x:c r="H11" s="2" t="n">
        <x:v>0.8898089528083801</x:v>
      </x:c>
      <x:c r="I11" s="2" t="n">
        <x:v>0.3971664309501648</x:v>
      </x:c>
    </x:row>
    <x:row r="12">
      <x:c r="A12" t="str">
        <x:v>diffusion</x:v>
      </x:c>
      <x:c r="B12" t="n">
        <x:v>123</x:v>
      </x:c>
      <x:c r="C12" t="str">
        <x:v>residual</x:v>
      </x:c>
      <x:c r="D12" t="n">
        <x:v>600</x:v>
      </x:c>
      <x:c r="E12" s="1" t="n">
        <x:v>0.9083333333333333</x:v>
      </x:c>
      <x:c r="F12" s="1" t="n">
        <x:v>0.9081604428603627</x:v>
      </x:c>
      <x:c r="G12" s="1" t="n">
        <x:v>0.9083333333333332</x:v>
      </x:c>
      <x:c r="H12" s="2" t="n">
        <x:v>0.8723970651626587</x:v>
      </x:c>
      <x:c r="I12" s="2" t="n">
        <x:v>0.3582936227321625</x:v>
      </x:c>
    </x:row>
    <x:row r="13">
      <x:c r="A13" t="str">
        <x:v>diffusion</x:v>
      </x:c>
      <x:c r="B13" t="n">
        <x:v>777</x:v>
      </x:c>
      <x:c r="C13" t="str">
        <x:v>residual</x:v>
      </x:c>
      <x:c r="D13" t="n">
        <x:v>600</x:v>
      </x:c>
      <x:c r="E13" s="1" t="n">
        <x:v>0.9166666666666666</x:v>
      </x:c>
      <x:c r="F13" s="1" t="n">
        <x:v>0.9163450000946837</x:v>
      </x:c>
      <x:c r="G13" s="1" t="n">
        <x:v>0.9166666666666666</x:v>
      </x:c>
      <x:c r="H13" s="2" t="n">
        <x:v>0.8747894167900085</x:v>
      </x:c>
      <x:c r="I13" s="2" t="n">
        <x:v>0.3503730297088623</x:v>
      </x:c>
    </x:row>
  </x:sheetData>
  <x:pageMargins left="0.7" right="0.7" top="0.75" bottom="0.75" header="0.3" footer="0.3"/>
  <x:tableParts count="1">
    <x:tablePart xmlns:r="http://schemas.openxmlformats.org/officeDocument/2006/relationships" r:id="R2e7600e9d8d24c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58" hidden="0" customWidth="1"/>
  </x:cols>
  <x:sheetData>
    <x:row r="1">
      <x:c r="A1" s="41" t="str">
        <x:v>Metric / topic</x:v>
      </x:c>
      <x:c r="B1" s="41" t="str">
        <x:v>Meaning</x:v>
      </x:c>
      <x:c r="C1" s="41" t="str">
        <x:v>Important limitation</x:v>
      </x:c>
    </x:row>
    <x:row r="2" ht="38" customHeight="1">
      <x:c r="A2" s="42" t="str">
        <x:v>Conditioning macro F1</x:v>
      </x:c>
      <x:c r="B2" s="42" t="str">
        <x:v>Unweighted mean of per-species F1 for generated target labels.</x:v>
      </x:c>
      <x:c r="C2" s="42" t="str">
        <x:v>High values indicate classifier-recognizable conditioning, not perceptual realism.</x:v>
      </x:c>
    </x:row>
    <x:row r="3" ht="38" customHeight="1">
      <x:c r="A3" s="42" t="str">
        <x:v>Fréchet classifier-feature distance</x:v>
      </x:c>
      <x:c r="B3" s="42" t="str">
        <x:v>Distance between real and generated feature means and covariances.</x:v>
      </x:c>
      <x:c r="C3" s="42" t="str">
        <x:v>Lower is better only within the same frozen encoder and preprocessing.</x:v>
      </x:c>
    </x:row>
    <x:row r="4" ht="38" customHeight="1">
      <x:c r="A4" s="42" t="str">
        <x:v>Manifold precision</x:v>
      </x:c>
      <x:c r="B4" s="42" t="str">
        <x:v>Share of generated examples within the real feature manifold.</x:v>
      </x:c>
      <x:c r="C4" s="42" t="str">
        <x:v>A fidelity proxy that inherits encoder bias.</x:v>
      </x:c>
    </x:row>
    <x:row r="5" ht="38" customHeight="1">
      <x:c r="A5" s="42" t="str">
        <x:v>Manifold recall</x:v>
      </x:c>
      <x:c r="B5" s="42" t="str">
        <x:v>Share of real variation reached by the generated manifold.</x:v>
      </x:c>
      <x:c r="C5" s="42" t="str">
        <x:v>A coverage proxy; sensitive to sample size and neighborhood choice.</x:v>
      </x:c>
    </x:row>
    <x:row r="6" ht="38" customHeight="1">
      <x:c r="A6" s="42" t="str">
        <x:v>Manifold density</x:v>
      </x:c>
      <x:c r="B6" s="42" t="str">
        <x:v>Average generated concentration in real-data neighborhoods.</x:v>
      </x:c>
      <x:c r="C6" s="42" t="str">
        <x:v>May exceed 1 and should not be read as a percentage.</x:v>
      </x:c>
    </x:row>
    <x:row r="7" ht="38" customHeight="1">
      <x:c r="A7" s="42" t="str">
        <x:v>Manifold coverage</x:v>
      </x:c>
      <x:c r="B7" s="42" t="str">
        <x:v>Fraction of real examples with a nearby generated example.</x:v>
      </x:c>
      <x:c r="C7" s="42" t="str">
        <x:v>Higher suggests broader support coverage.</x:v>
      </x:c>
    </x:row>
    <x:row r="8" ht="38" customHeight="1">
      <x:c r="A8" s="42" t="str">
        <x:v>Diversity ratio</x:v>
      </x:c>
      <x:c r="B8" s="42" t="str">
        <x:v>Generated within-species feature spread divided by real spread.</x:v>
      </x:c>
      <x:c r="C8" s="42" t="str">
        <x:v>Near 1 is similar; lower may indicate collapse, higher may indicate noise.</x:v>
      </x:c>
    </x:row>
    <x:row r="9" ht="38" customHeight="1">
      <x:c r="A9" s="42" t="str">
        <x:v>Pixel Wasserstein distance</x:v>
      </x:c>
      <x:c r="B9" s="42" t="str">
        <x:v>Difference between real and generated intensity distributions.</x:v>
      </x:c>
      <x:c r="C9" s="42" t="str">
        <x:v>Ignores where pixels occur in the spectrogram.</x:v>
      </x:c>
    </x:row>
    <x:row r="10" ht="38" customHeight="1">
      <x:c r="A10" s="42" t="str">
        <x:v>Exact duplicates</x:v>
      </x:c>
      <x:c r="B10" s="42" t="str">
        <x:v>Generated arrays exactly matching training arrays.</x:v>
      </x:c>
      <x:c r="C10" s="42" t="str">
        <x:v>Zero does not rule out near-copying.</x:v>
      </x:c>
    </x:row>
    <x:row r="11" ht="38" customHeight="1">
      <x:c r="A11" s="42" t="str">
        <x:v>Copy-risk fraction</x:v>
      </x:c>
      <x:c r="B11" s="42" t="str">
        <x:v>Generated examples closer to training than a validation-derived threshold.</x:v>
      </x:c>
      <x:c r="C11" s="42" t="str">
        <x:v>A screening flag, not proof of memorization.</x:v>
      </x:c>
    </x:row>
    <x:row r="12" ht="38" customHeight="1">
      <x:c r="A12" s="42" t="str">
        <x:v>Claim boundary</x:v>
      </x:c>
      <x:c r="B12" s="42" t="str">
        <x:v>Supported: classifier compatibility, feature similarity, diversity, coverage, copying risk, seed stability.</x:v>
      </x:c>
      <x:c r="C12" s="42" t="str">
        <x:v>Unsupported: human realism, waveform quality, native generator loss, causal classifier improvement.</x:v>
      </x:c>
    </x:row>
  </x:sheetData>
  <x:pageMargins left="0.7" right="0.7" top="0.75" bottom="0.75" header="0.3" footer="0.3"/>
</x:worksheet>
</file>